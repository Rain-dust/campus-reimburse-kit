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<sst xmlns="http://schemas.openxmlformats.org/spreadsheetml/2006/main" count="27" uniqueCount="26">
  <si>
    <t>附件2</t>
  </si>
  <si>
    <t>湘潭大学教学科研易耗品和材料出库单</t>
  </si>
  <si>
    <t xml:space="preserve">单位(盖章)： </t>
  </si>
  <si>
    <t xml:space="preserve">经费代码：  </t>
  </si>
  <si>
    <t>出库日期</t>
  </si>
  <si>
    <t>产品名称</t>
  </si>
  <si>
    <t>规格</t>
  </si>
  <si>
    <t>单位</t>
  </si>
  <si>
    <t>出库数量</t>
  </si>
  <si>
    <r>
      <rPr>
        <b/>
        <sz val="11"/>
        <color rgb="FF000000"/>
        <rFont val="仿宋_GB2312"/>
        <charset val="134"/>
      </rPr>
      <t>单价</t>
    </r>
    <r>
      <rPr>
        <b/>
        <sz val="11"/>
        <color rgb="FF000000"/>
        <rFont val="宋体"/>
        <charset val="134"/>
      </rPr>
      <t>(</t>
    </r>
    <r>
      <rPr>
        <b/>
        <sz val="11"/>
        <color rgb="FF000000"/>
        <rFont val="仿宋_GB2312"/>
        <charset val="134"/>
      </rPr>
      <t>元</t>
    </r>
    <r>
      <rPr>
        <b/>
        <sz val="11"/>
        <color rgb="FF000000"/>
        <rFont val="宋体"/>
        <charset val="134"/>
      </rPr>
      <t>)</t>
    </r>
  </si>
  <si>
    <r>
      <rPr>
        <b/>
        <sz val="11"/>
        <color rgb="FF000000"/>
        <rFont val="仿宋_GB2312"/>
        <charset val="134"/>
      </rPr>
      <t>金额</t>
    </r>
    <r>
      <rPr>
        <b/>
        <sz val="11"/>
        <color rgb="FF000000"/>
        <rFont val="宋体"/>
        <charset val="134"/>
      </rPr>
      <t>(</t>
    </r>
    <r>
      <rPr>
        <b/>
        <sz val="11"/>
        <color rgb="FF000000"/>
        <rFont val="仿宋_GB2312"/>
        <charset val="134"/>
      </rPr>
      <t>元</t>
    </r>
    <r>
      <rPr>
        <b/>
        <sz val="11"/>
        <color rgb="FF000000"/>
        <rFont val="宋体"/>
        <charset val="134"/>
      </rPr>
      <t>)</t>
    </r>
  </si>
  <si>
    <t>用途</t>
  </si>
  <si>
    <t>领用人</t>
  </si>
  <si>
    <t>管理员</t>
  </si>
  <si>
    <t>排烟机</t>
  </si>
  <si>
    <t>个</t>
  </si>
  <si>
    <t>临沂市国金护理用品有限公司</t>
  </si>
  <si>
    <t>导航遥控设备*RoboMast
er C620 无刷电机调速器
2</t>
  </si>
  <si>
    <t xml:space="preserve">C620 </t>
  </si>
  <si>
    <t>件</t>
  </si>
  <si>
    <t>深圳市睿炽科技有限公司</t>
  </si>
  <si>
    <t>合计：</t>
  </si>
  <si>
    <t>大写：</t>
  </si>
  <si>
    <t>注：定期打印并作为档案保存。</t>
  </si>
  <si>
    <t>(自动求和）</t>
  </si>
  <si>
    <t>（自动大写）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</si>
</sst>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[DBNum2][$-804]General"/>
  </numFmts>
  <fonts count="29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1"/>
      <color rgb="FFFF0000"/>
      <name val="宋体"/>
      <charset val="134"/>
      <scheme val="minor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sz val="11"/>
      <color theme="1"/>
      <name val="仿宋_GB2312"/>
      <charset val="134"/>
    </font>
    <font>
      <b/>
      <sz val="11"/>
      <color rgb="FF000000"/>
      <name val="仿宋_GB2312"/>
      <charset val="134"/>
    </font>
    <font>
      <sz val="11"/>
      <name val="Times New Roman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0" fontId="8" fillId="0" borderId="1" xfId="0" applyFont="1" applyBorder="1" applyAlignment="1">
      <alignment horizontal="right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177" fontId="8" fillId="0" borderId="2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="145" zoomScaleNormal="145" workbookViewId="0">
      <selection activeCell="F10" sqref="F10"/>
    </sheetView>
  </sheetViews>
  <sheetFormatPr defaultColWidth="9" defaultRowHeight="14.4"/>
  <cols>
    <col min="1" max="1" width="12.4444444444444" customWidth="1"/>
    <col min="2" max="2" width="39.7592592592593" customWidth="1"/>
    <col min="3" max="3" width="22.5277777777778" customWidth="1"/>
    <col min="4" max="4" width="5.33333333333333" customWidth="1"/>
    <col min="5" max="5" width="10.3333333333333" customWidth="1"/>
    <col min="6" max="6" width="12.3333333333333" customWidth="1"/>
    <col min="7" max="7" width="12.4444444444444" customWidth="1"/>
    <col min="8" max="8" width="30.6481481481481" customWidth="1"/>
    <col min="9" max="9" width="11.1018518518519" customWidth="1"/>
    <col min="10" max="10" width="12.3333333333333" customWidth="1"/>
  </cols>
  <sheetData>
    <row r="1" ht="15.6" spans="1:1">
      <c r="A1" s="4" t="s">
        <v>0</v>
      </c>
    </row>
    <row r="2" ht="22.2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5.6" spans="1:6">
      <c r="A3" s="6" t="s">
        <v>2</v>
      </c>
      <c r="F3" s="6" t="s">
        <v>3</v>
      </c>
    </row>
    <row r="4" s="2" customFormat="1" spans="1:10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</row>
    <row r="5" s="3" customFormat="1" spans="1:10">
      <c r="A5" s="8">
        <v>46134</v>
      </c>
      <c r="B5" s="9" t="s">
        <v>14</v>
      </c>
      <c r="C5" s="9" t="s">
        <v>14</v>
      </c>
      <c r="D5" s="9" t="s">
        <v>15</v>
      </c>
      <c r="E5" s="9">
        <v>2</v>
      </c>
      <c r="F5" s="9">
        <v>85.1</v>
      </c>
      <c r="G5" s="9">
        <v>170.2</v>
      </c>
      <c r="H5" s="9" t="s">
        <v>16</v>
      </c>
      <c r="I5" s="15"/>
      <c r="J5" s="15"/>
    </row>
    <row r="6" s="3" customFormat="1" ht="43.2" spans="1:10">
      <c r="A6" s="8">
        <v>46193</v>
      </c>
      <c r="B6" s="9" t="s">
        <v>17</v>
      </c>
      <c r="C6" s="9" t="s">
        <v>18</v>
      </c>
      <c r="D6" s="9" t="s">
        <v>19</v>
      </c>
      <c r="E6" s="9">
        <v>6</v>
      </c>
      <c r="F6" s="9">
        <v>161</v>
      </c>
      <c r="G6" s="9">
        <v>966</v>
      </c>
      <c r="H6" s="9" t="s">
        <v>20</v>
      </c>
      <c r="I6" s="15"/>
      <c r="J6" s="15"/>
    </row>
    <row r="7" spans="1:10">
      <c r="A7" s="10"/>
      <c r="B7" s="10"/>
      <c r="C7" s="10"/>
      <c r="D7" s="10"/>
      <c r="E7" s="10"/>
      <c r="F7" s="11" t="s">
        <v>21</v>
      </c>
      <c r="G7" s="12">
        <f>SUM(G5:G6)</f>
        <v>1136.2</v>
      </c>
      <c r="H7" s="13" t="s">
        <v>22</v>
      </c>
      <c r="I7" s="16" t="str">
        <f>IF((G7-INT(G7))=0,TEXT(G7,"[DBNUM2]")&amp;"元整",IF(INT(G7*10)-G7*10=0,TEXT(INT(G7),"[DBNUM2]")&amp;"元"&amp;TEXT((INT(G7*10)-INT(G7)*10),"[DBNUM2]")&amp;"角整",TEXT(INT(G7),"[DBNUM2]")&amp;"元"&amp;IF(INT(G7*10)-INT(G7)*10=0,"零",TEXT(INT(G7*10)-INT(G7)*10,"[DBNUM2]")&amp;"角")&amp;TEXT(RIGHT(G7,1),"[DBNUM2]")&amp;"分"))</f>
        <v>壹仟壹佰叁拾陆元贰角整</v>
      </c>
      <c r="J7" s="17"/>
    </row>
    <row r="8" spans="1:10">
      <c r="A8" s="6" t="s">
        <v>23</v>
      </c>
      <c r="B8" s="2"/>
      <c r="C8" s="2"/>
      <c r="D8" s="2"/>
      <c r="E8" s="2"/>
      <c r="F8" s="2"/>
      <c r="G8" s="14" t="s">
        <v>24</v>
      </c>
      <c r="H8" s="2"/>
      <c r="I8" s="18" t="s">
        <v>25</v>
      </c>
      <c r="J8" s="18"/>
    </row>
    <row r="9" ht="20.25" customHeight="1"/>
    <row r="10" s="2" customFormat="1" ht="20.25" customHeight="1"/>
  </sheetData>
  <mergeCells count="3">
    <mergeCell ref="A2:J2"/>
    <mergeCell ref="I7:J7"/>
    <mergeCell ref="I8:J8"/>
  </mergeCells>
  <pageMargins left="1.45669291338583" right="0.236220472440945" top="0.393700787401575" bottom="0.59055118110236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pisaly</dc:creator>
  <cp:lastModifiedBy>余俱进</cp:lastModifiedBy>
  <dcterms:created xsi:type="dcterms:W3CDTF">2019-05-06T03:08:00Z</dcterms:created>
  <dcterms:modified xsi:type="dcterms:W3CDTF">2026-06-22T10:36:33Z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2052-11.1.0.14252</vt:lpwstr>
  </property>
  <property fmtid="{D5CDD505-2E9C-101B-9397-08002B2CF9AE}" pid="3" name="ICV">
    <vt:lpwstr>A0A72BDF39994B7E9413CCA273A6B28F_13</vt:lpwstr>
  </property>
  <property fmtid="{D5CDD505-2E9C-101B-9397-08002B2CF9AE}" pid="4" name="CalculationRule">
    <vt:i4>0</vt:i4>
  </property>
</Properties>
</file>