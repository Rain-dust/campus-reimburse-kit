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<sst xmlns="http://schemas.openxmlformats.org/spreadsheetml/2006/main" count="27" uniqueCount="25">
  <si>
    <t>附件1</t>
  </si>
  <si>
    <t>湘潭大学教学科研易耗品和材料入库单</t>
  </si>
  <si>
    <t xml:space="preserve">单位(盖章)： </t>
  </si>
  <si>
    <t xml:space="preserve">经费代码：  </t>
  </si>
  <si>
    <t>入库日期</t>
  </si>
  <si>
    <t>产品名称</t>
  </si>
  <si>
    <t>规格</t>
  </si>
  <si>
    <t>单位</t>
  </si>
  <si>
    <t>入库数量</t>
  </si>
  <si>
    <r>
      <rPr>
        <b/>
        <sz val="11"/>
        <color rgb="FF000000"/>
        <rFont val="仿宋_GB2312"/>
        <charset val="134"/>
      </rPr>
      <t>单价</t>
    </r>
    <r>
      <rPr>
        <b/>
        <sz val="11"/>
        <color rgb="FF000000"/>
        <rFont val="宋体"/>
        <charset val="134"/>
      </rPr>
      <t>(</t>
    </r>
    <r>
      <rPr>
        <b/>
        <sz val="11"/>
        <color rgb="FF000000"/>
        <rFont val="仿宋_GB2312"/>
        <charset val="134"/>
      </rPr>
      <t>元</t>
    </r>
    <r>
      <rPr>
        <b/>
        <sz val="11"/>
        <color rgb="FF000000"/>
        <rFont val="宋体"/>
        <charset val="134"/>
      </rPr>
      <t>)</t>
    </r>
  </si>
  <si>
    <r>
      <rPr>
        <b/>
        <sz val="11"/>
        <color rgb="FF000000"/>
        <rFont val="仿宋_GB2312"/>
        <charset val="134"/>
      </rPr>
      <t>金额</t>
    </r>
    <r>
      <rPr>
        <b/>
        <sz val="11"/>
        <color rgb="FF000000"/>
        <rFont val="宋体"/>
        <charset val="134"/>
      </rPr>
      <t>(</t>
    </r>
    <r>
      <rPr>
        <b/>
        <sz val="11"/>
        <color rgb="FF000000"/>
        <rFont val="仿宋_GB2312"/>
        <charset val="134"/>
      </rPr>
      <t>元</t>
    </r>
    <r>
      <rPr>
        <b/>
        <sz val="11"/>
        <color rgb="FF000000"/>
        <rFont val="宋体"/>
        <charset val="134"/>
      </rPr>
      <t>)</t>
    </r>
  </si>
  <si>
    <t>供货单位</t>
  </si>
  <si>
    <t>经办人</t>
  </si>
  <si>
    <t>管理员</t>
  </si>
  <si>
    <t>排烟机</t>
  </si>
  <si>
    <t>个</t>
  </si>
  <si>
    <t>临沂市国金护理用品有限公司</t>
  </si>
  <si>
    <t>导航遥控设备*RoboMast
er C620 无刷电机调速器
2</t>
  </si>
  <si>
    <t xml:space="preserve">C620 </t>
  </si>
  <si>
    <t>件</t>
  </si>
  <si>
    <t>深圳市睿炽科技有限公司</t>
  </si>
  <si>
    <t>合计：</t>
  </si>
  <si>
    <t>大写：</t>
  </si>
  <si>
    <t>注：此入库单为财务报销凭证，请与发票一同提交。</t>
  </si>
  <si>
    <t xml:space="preserve"> 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</si>
</sst>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  <numFmt numFmtId="177" formatCode="[DBNum2][$-804]General"/>
  </numFmts>
  <fonts count="29">
    <font>
      <sz val="11"/>
      <color theme="1"/>
      <name val="宋体"/>
      <charset val="134"/>
      <scheme val="minor"/>
    </font>
    <font>
      <sz val="12"/>
      <color theme="1"/>
      <name val="仿宋_GB2312"/>
      <charset val="134"/>
    </font>
    <font>
      <sz val="11"/>
      <color rgb="FFFF0000"/>
      <name val="宋体"/>
      <charset val="134"/>
      <scheme val="minor"/>
    </font>
    <font>
      <sz val="12"/>
      <color theme="1"/>
      <name val="黑体"/>
      <charset val="134"/>
    </font>
    <font>
      <sz val="18"/>
      <color theme="1"/>
      <name val="方正小标宋简体"/>
      <charset val="134"/>
    </font>
    <font>
      <sz val="11"/>
      <color theme="1"/>
      <name val="仿宋_GB2312"/>
      <charset val="134"/>
    </font>
    <font>
      <b/>
      <sz val="11"/>
      <color rgb="FF000000"/>
      <name val="仿宋_GB2312"/>
      <charset val="134"/>
    </font>
    <font>
      <sz val="11"/>
      <name val="Times New Roman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1" borderId="4" applyNumberFormat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14" fontId="7" fillId="0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>
      <alignment vertical="center"/>
    </xf>
    <xf numFmtId="0" fontId="8" fillId="0" borderId="1" xfId="0" applyFont="1" applyBorder="1" applyAlignment="1">
      <alignment horizontal="right" vertical="center"/>
    </xf>
    <xf numFmtId="0" fontId="2" fillId="0" borderId="1" xfId="0" applyFont="1" applyFill="1" applyBorder="1" applyAlignment="1">
      <alignment vertical="center" wrapText="1"/>
    </xf>
    <xf numFmtId="177" fontId="8" fillId="0" borderId="2" xfId="0" applyNumberFormat="1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zoomScale="130" zoomScaleNormal="130" topLeftCell="A4" workbookViewId="0">
      <pane xSplit="34500" topLeftCell="X1" activePane="topLeft"/>
      <selection activeCell="G12" sqref="G12"/>
      <selection pane="topRight"/>
    </sheetView>
  </sheetViews>
  <sheetFormatPr defaultColWidth="9.90740740740741" defaultRowHeight="14.4"/>
  <cols>
    <col min="1" max="1" width="16.3240740740741" customWidth="1"/>
    <col min="2" max="2" width="28.2037037037037" customWidth="1"/>
    <col min="3" max="3" width="16.25" customWidth="1"/>
    <col min="4" max="4" width="5.77777777777778" customWidth="1"/>
    <col min="5" max="5" width="10.3240740740741" customWidth="1"/>
    <col min="6" max="6" width="12.3240740740741" customWidth="1"/>
    <col min="7" max="7" width="12.4351851851852" customWidth="1"/>
    <col min="8" max="8" width="36.5740740740741" customWidth="1"/>
    <col min="9" max="9" width="11.7777777777778" customWidth="1"/>
    <col min="10" max="10" width="12.3240740740741" customWidth="1"/>
  </cols>
  <sheetData>
    <row r="1" ht="15.6" spans="1:1">
      <c r="A1" s="4" t="s">
        <v>0</v>
      </c>
    </row>
    <row r="2" ht="22.2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5.6" spans="1:6">
      <c r="A3" s="6" t="s">
        <v>2</v>
      </c>
      <c r="F3" s="6" t="s">
        <v>3</v>
      </c>
    </row>
    <row r="4" s="2" customFormat="1" spans="1:10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</row>
    <row r="5" s="3" customFormat="1" spans="1:10">
      <c r="A5" s="8">
        <v>46134</v>
      </c>
      <c r="B5" s="9" t="s">
        <v>14</v>
      </c>
      <c r="C5" s="9" t="s">
        <v>14</v>
      </c>
      <c r="D5" s="9" t="s">
        <v>15</v>
      </c>
      <c r="E5" s="9">
        <v>2</v>
      </c>
      <c r="F5" s="9">
        <v>85.1</v>
      </c>
      <c r="G5" s="9">
        <v>170.2</v>
      </c>
      <c r="H5" s="9" t="s">
        <v>16</v>
      </c>
      <c r="I5" s="15"/>
      <c r="J5" s="15"/>
    </row>
    <row r="6" s="3" customFormat="1" ht="43.2" spans="1:10">
      <c r="A6" s="8">
        <v>46193</v>
      </c>
      <c r="B6" s="9" t="s">
        <v>17</v>
      </c>
      <c r="C6" s="9" t="s">
        <v>18</v>
      </c>
      <c r="D6" s="9" t="s">
        <v>19</v>
      </c>
      <c r="E6" s="9">
        <v>6</v>
      </c>
      <c r="F6" s="9">
        <v>161</v>
      </c>
      <c r="G6" s="9">
        <v>966</v>
      </c>
      <c r="H6" s="9" t="s">
        <v>20</v>
      </c>
      <c r="I6" s="15"/>
      <c r="J6" s="15"/>
    </row>
    <row r="7" spans="1:10">
      <c r="A7" s="10"/>
      <c r="B7" s="10"/>
      <c r="C7" s="11"/>
      <c r="D7" s="10" t="s">
        <v>19</v>
      </c>
      <c r="E7" s="11"/>
      <c r="F7" s="12" t="s">
        <v>21</v>
      </c>
      <c r="G7" s="13">
        <f>SUM(G5:G6)</f>
        <v>1136.2</v>
      </c>
      <c r="H7" s="14" t="s">
        <v>22</v>
      </c>
      <c r="I7" s="16" t="str">
        <f>IF((G7-INT(G7))=0,TEXT(G7,"[DBNUM2]")&amp;"元整",IF(INT(G7*10)-G7*10=0,TEXT(INT(G7),"[DBNUM2]")&amp;"元"&amp;TEXT((INT(G7*10)-INT(G7)*10),"[DBNUM2]")&amp;"角整",TEXT(INT(G7),"[DBNUM2]")&amp;"元"&amp;IF(INT(G7*10)-INT(G7)*10=0,"零",TEXT(INT(G7*10)-INT(G7)*10,"[DBNUM2]")&amp;"角")&amp;TEXT(RIGHT(G7,1),"[DBNUM2]")&amp;"分"))</f>
        <v>壹仟壹佰叁拾陆元贰角整</v>
      </c>
      <c r="J7" s="17"/>
    </row>
    <row r="8" spans="1:10">
      <c r="A8" s="6" t="s">
        <v>23</v>
      </c>
      <c r="B8" s="2"/>
      <c r="C8" s="2"/>
      <c r="D8" s="2"/>
      <c r="E8" s="2"/>
      <c r="F8" s="2"/>
      <c r="G8" s="2"/>
      <c r="H8" s="2"/>
      <c r="I8" s="2"/>
      <c r="J8" s="2"/>
    </row>
    <row r="10" spans="7:7">
      <c r="G10" t="s">
        <v>24</v>
      </c>
    </row>
  </sheetData>
  <mergeCells count="2">
    <mergeCell ref="A2:J2"/>
    <mergeCell ref="I7:J7"/>
  </mergeCells>
  <pageMargins left="1.45625" right="0.236111111111111" top="0.393055555555556" bottom="0.590277777777778" header="0.314583333333333" footer="0.31458333333333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pisaly</dc:creator>
  <cp:lastModifiedBy>余俱进</cp:lastModifiedBy>
  <dcterms:created xsi:type="dcterms:W3CDTF">2019-05-06T03:08:00Z</dcterms:created>
  <cp:lastPrinted>2019-05-06T04:01:00Z</cp:lastPrinted>
  <dcterms:modified xsi:type="dcterms:W3CDTF">2026-06-22T10:35:52Z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2052-11.1.0.14252</vt:lpwstr>
  </property>
  <property fmtid="{D5CDD505-2E9C-101B-9397-08002B2CF9AE}" pid="3" name="ICV">
    <vt:lpwstr>304ED7759EFB4E8A8D0CD63E7AA19F62_13</vt:lpwstr>
  </property>
  <property fmtid="{D5CDD505-2E9C-101B-9397-08002B2CF9AE}" pid="4" name="CalculationRule">
    <vt:i4>0</vt:i4>
  </property>
</Properties>
</file>